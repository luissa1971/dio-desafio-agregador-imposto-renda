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47eebcf46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e15e2402c9ac4fef"/>
    <x:sheet xmlns:r="http://schemas.openxmlformats.org/officeDocument/2006/relationships" name="Titular" sheetId="2" r:id="R0cc765c8e6514a9c"/>
    <x:sheet xmlns:r="http://schemas.openxmlformats.org/officeDocument/2006/relationships" name="Informes" sheetId="3" r:id="R93f11ac109494e95"/>
    <x:sheet xmlns:r="http://schemas.openxmlformats.org/officeDocument/2006/relationships" name="Rendimentos" sheetId="4" r:id="Rd24999f7ec3f485f"/>
    <x:sheet xmlns:r="http://schemas.openxmlformats.org/officeDocument/2006/relationships" name="Pagamentos" sheetId="5" r:id="R70bff45a86a14147"/>
    <x:sheet xmlns:r="http://schemas.openxmlformats.org/officeDocument/2006/relationships" name="Bens_Direitos" sheetId="6" r:id="Rcc489fd9e99144e1"/>
    <x:sheet xmlns:r="http://schemas.openxmlformats.org/officeDocument/2006/relationships" name="Resumo" sheetId="7" r:id="R106f3dee41124186"/>
    <x:sheet xmlns:r="http://schemas.openxmlformats.org/officeDocument/2006/relationships" name="Listas" sheetId="8" r:id="R0d48d5c11316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957eb070f4e3b" /><Relationship Type="http://schemas.openxmlformats.org/officeDocument/2006/relationships/theme" Target="/xl/theme/theme1.xml" Id="Rf98a2cc791964ab0" /><Relationship Type="http://schemas.openxmlformats.org/officeDocument/2006/relationships/sharedStrings" Target="/xl/sharedStrings.xml" Id="Rfad0735f81dc415a" /><Relationship Type="http://schemas.openxmlformats.org/officeDocument/2006/relationships/worksheet" Target="/xl/worksheets/sheet1.xml" Id="Re15e2402c9ac4fef" /><Relationship Type="http://schemas.openxmlformats.org/officeDocument/2006/relationships/worksheet" Target="/xl/worksheets/sheet2.xml" Id="R0cc765c8e6514a9c" /><Relationship Type="http://schemas.openxmlformats.org/officeDocument/2006/relationships/worksheet" Target="/xl/worksheets/sheet3.xml" Id="R93f11ac109494e95" /><Relationship Type="http://schemas.openxmlformats.org/officeDocument/2006/relationships/worksheet" Target="/xl/worksheets/sheet4.xml" Id="Rd24999f7ec3f485f" /><Relationship Type="http://schemas.openxmlformats.org/officeDocument/2006/relationships/worksheet" Target="/xl/worksheets/sheet5.xml" Id="R70bff45a86a14147" /><Relationship Type="http://schemas.openxmlformats.org/officeDocument/2006/relationships/worksheet" Target="/xl/worksheets/sheet6.xml" Id="Rcc489fd9e99144e1" /><Relationship Type="http://schemas.openxmlformats.org/officeDocument/2006/relationships/worksheet" Target="/xl/worksheets/sheet7.xml" Id="R106f3dee41124186" /><Relationship Type="http://schemas.openxmlformats.org/officeDocument/2006/relationships/worksheet" Target="/xl/worksheets/sheet8.xml" Id="R0d48d5c113164e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ba6d96108c49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Visão geral dos valores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Total</c:v>
          </c:tx>
          <c:cat>
            <c:strRef>
              <c:f>'Resumo'!$A$5:$A$9</c:f>
              <c:strCache>
                <c:ptCount val="0"/>
              </c:strCache>
            </c:strRef>
          </c:cat>
          <c:val>
            <c:numRef>
              <c:f>'Resumo'!$B$5:$B$9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ba6d96108c49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formesTable" displayName="InformesTable" ref="A4:G14" headerRowCount="1" totalsRowCount="0" totalsRowShown="0">
  <x:tableColumns count="7">
    <x:tableColumn id="1" name="Instituição"/>
    <x:tableColumn id="2" name="CNPJ"/>
    <x:tableColumn id="3" name="Documento"/>
    <x:tableColumn id="4" name="Ano-calendário"/>
    <x:tableColumn id="5" name="Saldo/Valor"/>
    <x:tableColumn id="6" name="Observação"/>
    <x:tableColumn id="7" name="Conferido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ndimentosTable" displayName="RendimentosTable" ref="A4:H19" headerRowCount="1" totalsRowCount="0" totalsRowShown="0">
  <x:tableColumns count="8">
    <x:tableColumn id="1" name="Data"/>
    <x:tableColumn id="2" name="Fonte pagadora"/>
    <x:tableColumn id="3" name="CPF/CNPJ"/>
    <x:tableColumn id="4" name="Tipo"/>
    <x:tableColumn id="5" name="Tributável?"/>
    <x:tableColumn id="6" name="Valor"/>
    <x:tableColumn id="7" name="IR retido"/>
    <x:tableColumn id="8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gamentosTable" displayName="PagamentosTable" ref="A4:G19" headerRowCount="1" totalsRowCount="0" totalsRowShown="0">
  <x:tableColumns count="7">
    <x:tableColumn id="1" name="Data"/>
    <x:tableColumn id="2" name="Beneficiário"/>
    <x:tableColumn id="3" name="CPF/CNPJ"/>
    <x:tableColumn id="4" name="Categoria"/>
    <x:tableColumn id="5" name="Valor"/>
    <x:tableColumn id="6" name="Dedutível?"/>
    <x:tableColumn id="7" name="Observ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nsTable" displayName="BensTable" ref="A4:I14" headerRowCount="1" totalsRowCount="0" totalsRowShown="0">
  <x:tableColumns count="9">
    <x:tableColumn id="1" name="Tipo"/>
    <x:tableColumn id="2" name="Descrição"/>
    <x:tableColumn id="3" name="UF"/>
    <x:tableColumn id="4" name="CPF/CNPJ relacionado"/>
    <x:tableColumn id="5" name="Situação 31/12 anterior"/>
    <x:tableColumn id="6" name="Situação 31/12 atual"/>
    <x:tableColumn id="7" name="Aquisição"/>
    <x:tableColumn id="8" name="Alienação"/>
    <x:tableColumn id="9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cced67dd28b46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d24dac376af4e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bb5414051a344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4203e497bce4b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05923037f7ba42e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22" hidden="0" customWidth="1"/>
    <x:col min="4" max="4" width="22" hidden="0" customWidth="1"/>
  </x:cols>
  <x:sheetData>
    <x:row r="1">
      <x:c r="A1" s="8" t="str">
        <x:v>AGREGADOR DE DADOS — IMPOSTO DE RENDA</x:v>
      </x:c>
      <x:c r="B1" s="8"/>
      <x:c r="C1" s="8"/>
      <x:c r="D1" s="8"/>
    </x:row>
    <x:row r="2">
      <x:c r="A2" s="8"/>
      <x:c r="B2" s="8"/>
      <x:c r="C2" s="8"/>
      <x:c r="D2" s="8"/>
    </x:row>
    <x:row r="4">
      <x:c r="A4" s="13" t="str">
        <x:v>Aba</x:v>
      </x:c>
      <x:c r="B4" s="13" t="str">
        <x:v>Finalidade</x:v>
      </x:c>
      <x:c r="C4" s="13" t="str">
        <x:v>Status</x:v>
      </x:c>
      <x:c r="D4" s="13" t="str">
        <x:v>Link rápido</x:v>
      </x:c>
    </x:row>
    <x:row r="5">
      <x:c r="A5" t="e">
        <x:f>HYPERLINK("#'Titular'!A1","Titular")</x:f>
        <x:v>HYPERLINK is not implemented. linkLocation=#'Titular'!A1, friendlyName=Titular</x:v>
      </x:c>
      <x:c r="B5" t="str">
        <x:v>Dados cadastrais</x:v>
      </x:c>
      <x:c r="C5" t="str">
        <x:v>Preencher</x:v>
      </x:c>
      <x:c r="D5" t="e">
        <x:f>HYPERLINK("https://www.gov.br/receitafederal/pt-br","Receita Federal")</x:f>
        <x:v>HYPERLINK is not implemented. linkLocation=https://www.gov.br/receitafederal/pt-br, friendlyName=Receita Federal</x:v>
      </x:c>
    </x:row>
    <x:row r="6">
      <x:c r="A6" t="e">
        <x:f>HYPERLINK("#'Informes'!A1","Informes")</x:f>
        <x:v>HYPERLINK is not implemented. linkLocation=#'Informes'!A1, friendlyName=Informes</x:v>
      </x:c>
      <x:c r="B6" t="str">
        <x:v>Informes bancários e financeiros</x:v>
      </x:c>
      <x:c r="C6" t="str">
        <x:v>Preencher</x:v>
      </x:c>
      <x:c r="D6" t="e">
        <x:f>HYPERLINK("https://www.gov.br/receitafederal/pt-br/assuntos/meu-imposto-de-renda","Meu Imposto de Renda")</x:f>
        <x:v>HYPERLINK is not implemented. linkLocation=https://www.gov.br/receitafederal/pt-br/assuntos/meu-imposto-de-renda, friendlyName=Meu Imposto de Renda</x:v>
      </x:c>
    </x:row>
    <x:row r="7">
      <x:c r="A7" t="e">
        <x:f>HYPERLINK("#'Rendimentos'!A1","Rendimentos")</x:f>
        <x:v>HYPERLINK is not implemented. linkLocation=#'Rendimentos'!A1, friendlyName=Rendimentos</x:v>
      </x:c>
      <x:c r="B7" t="str">
        <x:v>Rendimentos tributáveis e isentos</x:v>
      </x:c>
      <x:c r="C7" t="str">
        <x:v>Preencher</x:v>
      </x:c>
    </x:row>
    <x:row r="8">
      <x:c r="A8" t="e">
        <x:f>HYPERLINK("#'Pagamentos'!A1","Pagamentos")</x:f>
        <x:v>HYPERLINK is not implemented. linkLocation=#'Pagamentos'!A1, friendlyName=Pagamentos</x:v>
      </x:c>
      <x:c r="B8" t="str">
        <x:v>Despesas e pagamentos</x:v>
      </x:c>
      <x:c r="C8" t="str">
        <x:v>Preencher</x:v>
      </x:c>
    </x:row>
    <x:row r="9">
      <x:c r="A9" t="e">
        <x:f>HYPERLINK("#'Bens_Direitos'!A1","Bens_Direitos")</x:f>
        <x:v>HYPERLINK is not implemented. linkLocation=#'Bens_Direitos'!A1, friendlyName=Bens_Direitos</x:v>
      </x:c>
      <x:c r="B9" t="str">
        <x:v>Patrimônio e bens</x:v>
      </x:c>
      <x:c r="C9" t="str">
        <x:v>Preencher</x:v>
      </x:c>
    </x:row>
    <x:row r="10">
      <x:c r="A10" t="e">
        <x:f>HYPERLINK("#'Resumo'!A1","Resumo")</x:f>
        <x:v>HYPERLINK is not implemented. linkLocation=#'Resumo'!A1, friendlyName=Resumo</x:v>
      </x:c>
      <x:c r="B10" t="str">
        <x:v>Consolidação automática</x:v>
      </x:c>
      <x:c r="C10" t="str">
        <x:v>Automático</x:v>
      </x:c>
    </x:row>
    <x:row r="11">
      <x:c r="A11" t="e">
        <x:f>HYPERLINK("#'Listas'!A1","Listas")</x:f>
        <x:v>HYPERLINK is not implemented. linkLocation=#'Listas'!A1, friendlyName=Listas</x:v>
      </x:c>
      <x:c r="B11" t="str">
        <x:v>Validações auxiliares</x:v>
      </x:c>
      <x:c r="C11" t="str">
        <x:v>Apoio</x:v>
      </x:c>
    </x:row>
    <x:row r="13">
      <x:c r="A13" s="17" t="str">
        <x:v>Como usar</x:v>
      </x:c>
      <x:c r="B13" s="17" t="str"/>
    </x:row>
    <x:row r="14">
      <x:c r="A14" t="str">
        <x:v>1</x:v>
      </x:c>
      <x:c r="B14" t="str">
        <x:v>Preencha a aba Titular.</x:v>
      </x:c>
    </x:row>
    <x:row r="15">
      <x:c r="A15" t="str">
        <x:v>2</x:v>
      </x:c>
      <x:c r="B15" t="str">
        <x:v>Registre informes, rendimentos, pagamentos e bens.</x:v>
      </x:c>
    </x:row>
    <x:row r="16">
      <x:c r="A16" t="str">
        <x:v>3</x:v>
      </x:c>
      <x:c r="B16" t="str">
        <x:v>Confira a aba Resumo antes de preparar a declaração.</x:v>
      </x:c>
    </x:row>
  </x:sheetData>
  <x:mergeCells>
    <x:mergeCell ref="A1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</x:cols>
  <x:sheetData>
    <x:row r="1">
      <x:c r="A1" s="21" t="str">
        <x:v>DADOS DO TITULAR</x:v>
      </x:c>
      <x:c r="B1" s="21"/>
    </x:row>
    <x:row r="2">
      <x:c r="A2" s="21"/>
      <x:c r="B2" s="21"/>
    </x:row>
    <x:row r="4">
      <x:c r="A4" s="13" t="str">
        <x:v>Campo</x:v>
      </x:c>
      <x:c r="B4" s="13" t="str">
        <x:v>Informação</x:v>
      </x:c>
      <x:c r="D4" t="e">
        <x:f>HYPERLINK("#'Menu'!A1","← Voltar ao Menu")</x:f>
        <x:v>HYPERLINK is not implemented. linkLocation=#'Menu'!A1, friendlyName=← Voltar ao Menu</x:v>
      </x:c>
    </x:row>
    <x:row r="5">
      <x:c r="A5" t="str">
        <x:v>Nome completo</x:v>
      </x:c>
      <x:c r="B5" t="str"/>
    </x:row>
    <x:row r="6">
      <x:c r="A6" t="str">
        <x:v>CPF</x:v>
      </x:c>
      <x:c r="B6" t="str"/>
    </x:row>
    <x:row r="7">
      <x:c r="A7" t="str">
        <x:v>Data de nascimento</x:v>
      </x:c>
      <x:c r="B7" s="24" t="str"/>
    </x:row>
    <x:row r="8">
      <x:c r="A8" t="str">
        <x:v>Título de eleitor</x:v>
      </x:c>
      <x:c r="B8" t="str"/>
    </x:row>
    <x:row r="9">
      <x:c r="A9" t="str">
        <x:v>Endereço</x:v>
      </x:c>
      <x:c r="B9" t="str"/>
    </x:row>
    <x:row r="10">
      <x:c r="A10" t="str">
        <x:v>Cidade</x:v>
      </x:c>
      <x:c r="B10" t="str"/>
    </x:row>
    <x:row r="11">
      <x:c r="A11" t="str">
        <x:v>UF</x:v>
      </x:c>
      <x:c r="B11" t="str"/>
    </x:row>
  </x:sheetData>
  <x:mergeCells>
    <x:mergeCell ref="A1:B2"/>
  </x:mergeCells>
  <x:dataValidations count="1">
    <x:dataValidation type="list" sqref="B11">
      <x:formula1>Listas!$E$2:$E$8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0" hidden="0" customWidth="1"/>
    <x:col min="7" max="7" width="20" hidden="0" customWidth="1"/>
  </x:cols>
  <x:sheetData>
    <x:row r="1">
      <x:c r="A1" s="21" t="str">
        <x:v>INFORMES DE RENDIMENTOS / INSTITUIÇÕES</x:v>
      </x:c>
      <x:c r="B1" s="21"/>
      <x:c r="C1" s="21"/>
      <x:c r="D1" s="21"/>
      <x:c r="E1" s="21"/>
      <x:c r="F1" s="21"/>
      <x:c r="G1" s="21"/>
    </x:row>
    <x:row r="2">
      <x:c r="A2" s="21"/>
      <x:c r="B2" s="21"/>
      <x:c r="C2" s="21"/>
      <x:c r="D2" s="21"/>
      <x:c r="E2" s="21"/>
      <x:c r="F2" s="21"/>
      <x:c r="G2" s="21"/>
    </x:row>
    <x:row r="4">
      <x:c r="A4" s="13" t="str">
        <x:v>Instituição</x:v>
      </x:c>
      <x:c r="B4" s="13" t="str">
        <x:v>CNPJ</x:v>
      </x:c>
      <x:c r="C4" s="13" t="str">
        <x:v>Documento</x:v>
      </x:c>
      <x:c r="D4" s="13" t="str">
        <x:v>Ano-calendário</x:v>
      </x:c>
      <x:c r="E4" s="13" t="str">
        <x:v>Saldo/Valor</x:v>
      </x:c>
      <x:c r="F4" s="13" t="str">
        <x:v>Observação</x:v>
      </x:c>
      <x:c r="G4" s="13" t="str">
        <x:v>Conferido?</x:v>
      </x:c>
      <x:c r="I4" t="e">
        <x:f>HYPERLINK("#'Menu'!A1","← Voltar ao Menu")</x:f>
        <x:v>HYPERLINK is not implemented. linkLocation=#'Menu'!A1, friendlyName=← Voltar ao Menu</x:v>
      </x:c>
    </x:row>
    <x:row r="5">
      <x:c r="A5" t="str">
        <x:v>Banco do Brasil</x:v>
      </x:c>
      <x:c r="B5" t="str">
        <x:v>00.000.000/0001-00</x:v>
      </x:c>
      <x:c r="C5" t="str">
        <x:v>Informe bancário</x:v>
      </x:c>
      <x:c r="D5" t="n">
        <x:v>2025</x:v>
      </x:c>
      <x:c r="E5" s="26" t="n">
        <x:v>12500</x:v>
      </x:c>
      <x:c r="F5" t="str">
        <x:v>Exemplo didático</x:v>
      </x:c>
      <x:c r="G5" t="str">
        <x:v>Sim</x:v>
      </x:c>
    </x:row>
    <x:row r="6">
      <x:c r="A6" t="str"/>
      <x:c r="B6" t="str"/>
      <x:c r="C6" t="str"/>
      <x:c r="D6" t="str"/>
      <x:c r="E6" s="26" t="str"/>
      <x:c r="F6" t="str"/>
      <x:c r="G6" t="str"/>
    </x:row>
    <x:row r="7">
      <x:c r="A7" t="str"/>
      <x:c r="B7" t="str"/>
      <x:c r="C7" t="str"/>
      <x:c r="D7" t="str"/>
      <x:c r="E7" s="26" t="str"/>
      <x:c r="F7" t="str"/>
      <x:c r="G7" t="str"/>
    </x:row>
    <x:row r="8">
      <x:c r="A8" t="str"/>
      <x:c r="B8" t="str"/>
      <x:c r="C8" t="str"/>
      <x:c r="D8" t="str"/>
      <x:c r="E8" s="26" t="str"/>
      <x:c r="F8" t="str"/>
      <x:c r="G8" t="str"/>
    </x:row>
    <x:row r="9">
      <x:c r="A9" t="str"/>
      <x:c r="B9" t="str"/>
      <x:c r="C9" t="str"/>
      <x:c r="D9" t="str"/>
      <x:c r="E9" s="26" t="str"/>
      <x:c r="F9" t="str"/>
      <x:c r="G9" t="str"/>
    </x:row>
    <x:row r="10">
      <x:c r="A10" t="str"/>
      <x:c r="B10" t="str"/>
      <x:c r="C10" t="str"/>
      <x:c r="D10" t="str"/>
      <x:c r="E10" s="26" t="str"/>
      <x:c r="F10" t="str"/>
      <x:c r="G10" t="str"/>
    </x:row>
    <x:row r="11">
      <x:c r="A11" t="str"/>
      <x:c r="B11" t="str"/>
      <x:c r="C11" t="str"/>
      <x:c r="D11" t="str"/>
      <x:c r="E11" s="26" t="str"/>
      <x:c r="F11" t="str"/>
      <x:c r="G11" t="str"/>
    </x:row>
    <x:row r="12">
      <x:c r="A12" t="str"/>
      <x:c r="B12" t="str"/>
      <x:c r="C12" t="str"/>
      <x:c r="D12" t="str"/>
      <x:c r="E12" s="26" t="str"/>
      <x:c r="F12" t="str"/>
      <x:c r="G12" t="str"/>
    </x:row>
    <x:row r="13">
      <x:c r="A13" t="str"/>
      <x:c r="B13" t="str"/>
      <x:c r="C13" t="str"/>
      <x:c r="D13" t="str"/>
      <x:c r="E13" s="26" t="str"/>
      <x:c r="F13" t="str"/>
      <x:c r="G13" t="str"/>
    </x:row>
    <x:row r="14">
      <x:c r="A14" t="str"/>
      <x:c r="B14" t="str"/>
      <x:c r="C14" t="str"/>
      <x:c r="D14" t="str"/>
      <x:c r="E14" s="26" t="str"/>
      <x:c r="F14" t="str"/>
      <x:c r="G14" t="str"/>
    </x:row>
  </x:sheetData>
  <x:mergeCells>
    <x:mergeCell ref="A1:G2"/>
  </x:mergeCells>
  <x:dataValidations count="2">
    <x:dataValidation type="list" sqref="A5:A14">
      <x:formula1>Listas!$D$2:$D$8</x:formula1>
    </x:dataValidation>
    <x:dataValidation type="list" sqref="G5:G14">
      <x:formula1>Listas!$F$2:$F$3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ced67dd28b46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21" t="str">
        <x:v>RENDIMENTOS</x:v>
      </x:c>
      <x:c r="B1" s="21"/>
      <x:c r="C1" s="21"/>
      <x:c r="D1" s="21"/>
      <x:c r="E1" s="21"/>
      <x:c r="F1" s="21"/>
      <x:c r="G1" s="21"/>
      <x:c r="H1" s="21"/>
    </x:row>
    <x:row r="2">
      <x:c r="A2" s="21"/>
      <x:c r="B2" s="21"/>
      <x:c r="C2" s="21"/>
      <x:c r="D2" s="21"/>
      <x:c r="E2" s="21"/>
      <x:c r="F2" s="21"/>
      <x:c r="G2" s="21"/>
      <x:c r="H2" s="21"/>
    </x:row>
    <x:row r="4">
      <x:c r="A4" s="13" t="str">
        <x:v>Data</x:v>
      </x:c>
      <x:c r="B4" s="13" t="str">
        <x:v>Fonte pagadora</x:v>
      </x:c>
      <x:c r="C4" s="13" t="str">
        <x:v>CPF/CNPJ</x:v>
      </x:c>
      <x:c r="D4" s="13" t="str">
        <x:v>Tipo</x:v>
      </x:c>
      <x:c r="E4" s="13" t="str">
        <x:v>Tributável?</x:v>
      </x:c>
      <x:c r="F4" s="13" t="str">
        <x:v>Valor</x:v>
      </x:c>
      <x:c r="G4" s="13" t="str">
        <x:v>IR retido</x:v>
      </x:c>
      <x:c r="H4" s="13" t="str">
        <x:v>Observação</x:v>
      </x:c>
      <x:c r="J4" t="e">
        <x:f>HYPERLINK("#'Menu'!A1","← Voltar ao Menu")</x:f>
        <x:v>HYPERLINK is not implemented. linkLocation=#'Menu'!A1, friendlyName=← Voltar ao Menu</x:v>
      </x:c>
    </x:row>
    <x:row r="5">
      <x:c r="A5" t="str">
        <x:v>31/12/2025</x:v>
      </x:c>
      <x:c r="B5" t="str">
        <x:v>Empresa Exemplo S.A.</x:v>
      </x:c>
      <x:c r="C5" t="str">
        <x:v>00.000.000/0001-00</x:v>
      </x:c>
      <x:c r="D5" t="str">
        <x:v>Salário</x:v>
      </x:c>
      <x:c r="E5" t="str">
        <x:v>Sim</x:v>
      </x:c>
      <x:c r="F5" s="26" t="n">
        <x:v>85000</x:v>
      </x:c>
      <x:c r="G5" s="26" t="n">
        <x:v>8200</x:v>
      </x:c>
      <x:c r="H5" t="str">
        <x:v>Exemplo didático</x:v>
      </x:c>
    </x:row>
    <x:row r="6">
      <x:c r="A6" t="str">
        <x:v>31/12/2025</x:v>
      </x:c>
      <x:c r="B6" t="str">
        <x:v>FII Exemplo</x:v>
      </x:c>
      <x:c r="C6" t="str">
        <x:v>00.000.000/0001-01</x:v>
      </x:c>
      <x:c r="D6" t="str">
        <x:v>Dividendos</x:v>
      </x:c>
      <x:c r="E6" t="str">
        <x:v>Não</x:v>
      </x:c>
      <x:c r="F6" s="26" t="n">
        <x:v>4200</x:v>
      </x:c>
      <x:c r="G6" s="26" t="n">
        <x:v>0</x:v>
      </x:c>
      <x:c r="H6" t="str">
        <x:v>Exemplo didático</x:v>
      </x:c>
    </x:row>
    <x:row r="7">
      <x:c r="A7" t="str"/>
      <x:c r="B7" t="str"/>
      <x:c r="C7" t="str"/>
      <x:c r="D7" t="str"/>
      <x:c r="E7" t="str"/>
      <x:c r="F7" s="26" t="str"/>
      <x:c r="G7" s="26" t="str"/>
      <x:c r="H7" t="str"/>
    </x:row>
    <x:row r="8">
      <x:c r="A8" t="str"/>
      <x:c r="B8" t="str"/>
      <x:c r="C8" t="str"/>
      <x:c r="D8" t="str"/>
      <x:c r="E8" t="str"/>
      <x:c r="F8" s="26" t="str"/>
      <x:c r="G8" s="26" t="str"/>
      <x:c r="H8" t="str"/>
    </x:row>
    <x:row r="9">
      <x:c r="A9" t="str"/>
      <x:c r="B9" t="str"/>
      <x:c r="C9" t="str"/>
      <x:c r="D9" t="str"/>
      <x:c r="E9" t="str"/>
      <x:c r="F9" s="26" t="str"/>
      <x:c r="G9" s="26" t="str"/>
      <x:c r="H9" t="str"/>
    </x:row>
    <x:row r="10">
      <x:c r="A10" t="str"/>
      <x:c r="B10" t="str"/>
      <x:c r="C10" t="str"/>
      <x:c r="D10" t="str"/>
      <x:c r="E10" t="str"/>
      <x:c r="F10" s="26" t="str"/>
      <x:c r="G10" s="26" t="str"/>
      <x:c r="H10" t="str"/>
    </x:row>
    <x:row r="11">
      <x:c r="A11" t="str"/>
      <x:c r="B11" t="str"/>
      <x:c r="C11" t="str"/>
      <x:c r="D11" t="str"/>
      <x:c r="E11" t="str"/>
      <x:c r="F11" s="26" t="str"/>
      <x:c r="G11" s="26" t="str"/>
      <x:c r="H11" t="str"/>
    </x:row>
    <x:row r="12">
      <x:c r="A12" t="str"/>
      <x:c r="B12" t="str"/>
      <x:c r="C12" t="str"/>
      <x:c r="D12" t="str"/>
      <x:c r="E12" t="str"/>
      <x:c r="F12" s="26" t="str"/>
      <x:c r="G12" s="26" t="str"/>
      <x:c r="H12" t="str"/>
    </x:row>
    <x:row r="13">
      <x:c r="A13" t="str"/>
      <x:c r="B13" t="str"/>
      <x:c r="C13" t="str"/>
      <x:c r="D13" t="str"/>
      <x:c r="E13" t="str"/>
      <x:c r="F13" s="26" t="str"/>
      <x:c r="G13" s="26" t="str"/>
      <x:c r="H13" t="str"/>
    </x:row>
    <x:row r="14">
      <x:c r="A14" t="str"/>
      <x:c r="B14" t="str"/>
      <x:c r="C14" t="str"/>
      <x:c r="D14" t="str"/>
      <x:c r="E14" t="str"/>
      <x:c r="F14" s="26" t="str"/>
      <x:c r="G14" s="26" t="str"/>
      <x:c r="H14" t="str"/>
    </x:row>
    <x:row r="15">
      <x:c r="A15" t="str"/>
      <x:c r="B15" t="str"/>
      <x:c r="C15" t="str"/>
      <x:c r="D15" t="str"/>
      <x:c r="E15" t="str"/>
      <x:c r="F15" s="26" t="str"/>
      <x:c r="G15" s="26" t="str"/>
      <x:c r="H15" t="str"/>
    </x:row>
    <x:row r="16">
      <x:c r="A16" t="str"/>
      <x:c r="B16" t="str"/>
      <x:c r="C16" t="str"/>
      <x:c r="D16" t="str"/>
      <x:c r="E16" t="str"/>
      <x:c r="F16" s="26" t="str"/>
      <x:c r="G16" s="26" t="str"/>
      <x:c r="H16" t="str"/>
    </x:row>
    <x:row r="17">
      <x:c r="A17" t="str"/>
      <x:c r="B17" t="str"/>
      <x:c r="C17" t="str"/>
      <x:c r="D17" t="str"/>
      <x:c r="E17" t="str"/>
      <x:c r="F17" s="26" t="str"/>
      <x:c r="G17" s="26" t="str"/>
      <x:c r="H17" t="str"/>
    </x:row>
    <x:row r="18">
      <x:c r="A18" t="str"/>
      <x:c r="B18" t="str"/>
      <x:c r="C18" t="str"/>
      <x:c r="D18" t="str"/>
      <x:c r="E18" t="str"/>
      <x:c r="F18" s="26" t="str"/>
      <x:c r="G18" s="26" t="str"/>
      <x:c r="H18" t="str"/>
    </x:row>
    <x:row r="19">
      <x:c r="A19" t="str"/>
      <x:c r="B19" t="str"/>
      <x:c r="C19" t="str"/>
      <x:c r="D19" t="str"/>
      <x:c r="E19" t="str"/>
      <x:c r="F19" s="26" t="str"/>
      <x:c r="G19" s="26" t="str"/>
      <x:c r="H19" t="str"/>
    </x:row>
  </x:sheetData>
  <x:mergeCells>
    <x:mergeCell ref="A1:H2"/>
  </x:mergeCells>
  <x:dataValidations count="2">
    <x:dataValidation type="list" sqref="D5:D19">
      <x:formula1>Listas!$A$2:$A$7</x:formula1>
    </x:dataValidation>
    <x:dataValidation type="list" sqref="E5:E19">
      <x:formula1>Listas!$F$2:$F$3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24dac376af4e4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8" hidden="0" customWidth="1"/>
  </x:cols>
  <x:sheetData>
    <x:row r="1">
      <x:c r="A1" s="21" t="str">
        <x:v>PAGAMENTOS E DESPESAS</x:v>
      </x:c>
      <x:c r="B1" s="21"/>
      <x:c r="C1" s="21"/>
      <x:c r="D1" s="21"/>
      <x:c r="E1" s="21"/>
      <x:c r="F1" s="21"/>
      <x:c r="G1" s="21"/>
    </x:row>
    <x:row r="2">
      <x:c r="A2" s="21"/>
      <x:c r="B2" s="21"/>
      <x:c r="C2" s="21"/>
      <x:c r="D2" s="21"/>
      <x:c r="E2" s="21"/>
      <x:c r="F2" s="21"/>
      <x:c r="G2" s="21"/>
    </x:row>
    <x:row r="4">
      <x:c r="A4" s="13" t="str">
        <x:v>Data</x:v>
      </x:c>
      <x:c r="B4" s="13" t="str">
        <x:v>Beneficiário</x:v>
      </x:c>
      <x:c r="C4" s="13" t="str">
        <x:v>CPF/CNPJ</x:v>
      </x:c>
      <x:c r="D4" s="13" t="str">
        <x:v>Categoria</x:v>
      </x:c>
      <x:c r="E4" s="13" t="str">
        <x:v>Valor</x:v>
      </x:c>
      <x:c r="F4" s="13" t="str">
        <x:v>Dedutível?</x:v>
      </x:c>
      <x:c r="G4" s="13" t="str">
        <x:v>Observação</x:v>
      </x:c>
      <x:c r="I4" t="e">
        <x:f>HYPERLINK("#'Menu'!A1","← Voltar ao Menu")</x:f>
        <x:v>HYPERLINK is not implemented. linkLocation=#'Menu'!A1, friendlyName=← Voltar ao Menu</x:v>
      </x:c>
    </x:row>
    <x:row r="5">
      <x:c r="A5" t="str">
        <x:v>15/03/2025</x:v>
      </x:c>
      <x:c r="B5" t="str">
        <x:v>Clínica Exemplo</x:v>
      </x:c>
      <x:c r="C5" t="str">
        <x:v>00.000.000/0001-22</x:v>
      </x:c>
      <x:c r="D5" t="str">
        <x:v>Saúde</x:v>
      </x:c>
      <x:c r="E5" s="26" t="n">
        <x:v>1850</x:v>
      </x:c>
      <x:c r="F5" t="str">
        <x:v>Sim</x:v>
      </x:c>
      <x:c r="G5" t="str">
        <x:v>Exemplo didático</x:v>
      </x:c>
    </x:row>
    <x:row r="6">
      <x:c r="A6" t="str">
        <x:v>10/04/2025</x:v>
      </x:c>
      <x:c r="B6" t="str">
        <x:v>Faculdade Exemplo</x:v>
      </x:c>
      <x:c r="C6" t="str">
        <x:v>00.000.000/0001-33</x:v>
      </x:c>
      <x:c r="D6" t="str">
        <x:v>Educação</x:v>
      </x:c>
      <x:c r="E6" s="26" t="n">
        <x:v>3200</x:v>
      </x:c>
      <x:c r="F6" t="str">
        <x:v>Sim</x:v>
      </x:c>
      <x:c r="G6" t="str">
        <x:v>Exemplo didático</x:v>
      </x:c>
    </x:row>
    <x:row r="7">
      <x:c r="A7" t="str"/>
      <x:c r="B7" t="str"/>
      <x:c r="C7" t="str"/>
      <x:c r="D7" t="str"/>
      <x:c r="E7" s="26" t="str"/>
      <x:c r="F7" t="str"/>
      <x:c r="G7" t="str"/>
    </x:row>
    <x:row r="8">
      <x:c r="A8" t="str"/>
      <x:c r="B8" t="str"/>
      <x:c r="C8" t="str"/>
      <x:c r="D8" t="str"/>
      <x:c r="E8" s="26" t="str"/>
      <x:c r="F8" t="str"/>
      <x:c r="G8" t="str"/>
    </x:row>
    <x:row r="9">
      <x:c r="A9" t="str"/>
      <x:c r="B9" t="str"/>
      <x:c r="C9" t="str"/>
      <x:c r="D9" t="str"/>
      <x:c r="E9" s="26" t="str"/>
      <x:c r="F9" t="str"/>
      <x:c r="G9" t="str"/>
    </x:row>
    <x:row r="10">
      <x:c r="A10" t="str"/>
      <x:c r="B10" t="str"/>
      <x:c r="C10" t="str"/>
      <x:c r="D10" t="str"/>
      <x:c r="E10" s="26" t="str"/>
      <x:c r="F10" t="str"/>
      <x:c r="G10" t="str"/>
    </x:row>
    <x:row r="11">
      <x:c r="A11" t="str"/>
      <x:c r="B11" t="str"/>
      <x:c r="C11" t="str"/>
      <x:c r="D11" t="str"/>
      <x:c r="E11" s="26" t="str"/>
      <x:c r="F11" t="str"/>
      <x:c r="G11" t="str"/>
    </x:row>
    <x:row r="12">
      <x:c r="A12" t="str"/>
      <x:c r="B12" t="str"/>
      <x:c r="C12" t="str"/>
      <x:c r="D12" t="str"/>
      <x:c r="E12" s="26" t="str"/>
      <x:c r="F12" t="str"/>
      <x:c r="G12" t="str"/>
    </x:row>
    <x:row r="13">
      <x:c r="A13" t="str"/>
      <x:c r="B13" t="str"/>
      <x:c r="C13" t="str"/>
      <x:c r="D13" t="str"/>
      <x:c r="E13" s="26" t="str"/>
      <x:c r="F13" t="str"/>
      <x:c r="G13" t="str"/>
    </x:row>
    <x:row r="14">
      <x:c r="A14" t="str"/>
      <x:c r="B14" t="str"/>
      <x:c r="C14" t="str"/>
      <x:c r="D14" t="str"/>
      <x:c r="E14" s="26" t="str"/>
      <x:c r="F14" t="str"/>
      <x:c r="G14" t="str"/>
    </x:row>
    <x:row r="15">
      <x:c r="A15" t="str"/>
      <x:c r="B15" t="str"/>
      <x:c r="C15" t="str"/>
      <x:c r="D15" t="str"/>
      <x:c r="E15" s="26" t="str"/>
      <x:c r="F15" t="str"/>
      <x:c r="G15" t="str"/>
    </x:row>
    <x:row r="16">
      <x:c r="A16" t="str"/>
      <x:c r="B16" t="str"/>
      <x:c r="C16" t="str"/>
      <x:c r="D16" t="str"/>
      <x:c r="E16" s="26" t="str"/>
      <x:c r="F16" t="str"/>
      <x:c r="G16" t="str"/>
    </x:row>
    <x:row r="17">
      <x:c r="A17" t="str"/>
      <x:c r="B17" t="str"/>
      <x:c r="C17" t="str"/>
      <x:c r="D17" t="str"/>
      <x:c r="E17" s="26" t="str"/>
      <x:c r="F17" t="str"/>
      <x:c r="G17" t="str"/>
    </x:row>
    <x:row r="18">
      <x:c r="A18" t="str"/>
      <x:c r="B18" t="str"/>
      <x:c r="C18" t="str"/>
      <x:c r="D18" t="str"/>
      <x:c r="E18" s="26" t="str"/>
      <x:c r="F18" t="str"/>
      <x:c r="G18" t="str"/>
    </x:row>
    <x:row r="19">
      <x:c r="A19" t="str"/>
      <x:c r="B19" t="str"/>
      <x:c r="C19" t="str"/>
      <x:c r="D19" t="str"/>
      <x:c r="E19" s="26" t="str"/>
      <x:c r="F19" t="str"/>
      <x:c r="G19" t="str"/>
    </x:row>
  </x:sheetData>
  <x:mergeCells>
    <x:mergeCell ref="A1:G2"/>
  </x:mergeCells>
  <x:dataValidations count="2">
    <x:dataValidation type="list" sqref="D5:D19">
      <x:formula1>Listas!$B$2:$B$7</x:formula1>
    </x:dataValidation>
    <x:dataValidation type="list" sqref="F5:F19">
      <x:formula1>Listas!$F$2:$F$3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b5414051a344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8" hidden="0" customWidth="1"/>
  </x:cols>
  <x:sheetData>
    <x:row r="1">
      <x:c r="A1" s="21" t="str">
        <x:v>BENS E DIREITOS</x:v>
      </x:c>
      <x:c r="B1" s="21"/>
      <x:c r="C1" s="21"/>
      <x:c r="D1" s="21"/>
      <x:c r="E1" s="21"/>
      <x:c r="F1" s="21"/>
      <x:c r="G1" s="21"/>
      <x:c r="H1" s="21"/>
      <x:c r="I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</x:row>
    <x:row r="4">
      <x:c r="A4" s="13" t="str">
        <x:v>Tipo</x:v>
      </x:c>
      <x:c r="B4" s="13" t="str">
        <x:v>Descrição</x:v>
      </x:c>
      <x:c r="C4" s="13" t="str">
        <x:v>UF</x:v>
      </x:c>
      <x:c r="D4" s="13" t="str">
        <x:v>CPF/CNPJ relacionado</x:v>
      </x:c>
      <x:c r="E4" s="13" t="str">
        <x:v>Situação 31/12 anterior</x:v>
      </x:c>
      <x:c r="F4" s="13" t="str">
        <x:v>Situação 31/12 atual</x:v>
      </x:c>
      <x:c r="G4" s="13" t="str">
        <x:v>Aquisição</x:v>
      </x:c>
      <x:c r="H4" s="13" t="str">
        <x:v>Alienação</x:v>
      </x:c>
      <x:c r="I4" s="13" t="str">
        <x:v>Observação</x:v>
      </x:c>
      <x:c r="K4" t="e">
        <x:f>HYPERLINK("#'Menu'!A1","← Voltar ao Menu")</x:f>
        <x:v>HYPERLINK is not implemented. linkLocation=#'Menu'!A1, friendlyName=← Voltar ao Menu</x:v>
      </x:c>
    </x:row>
    <x:row r="5">
      <x:c r="A5" t="str">
        <x:v>Veículo</x:v>
      </x:c>
      <x:c r="B5" t="str">
        <x:v>Automóvel exemplo</x:v>
      </x:c>
      <x:c r="C5" t="str">
        <x:v>RJ</x:v>
      </x:c>
      <x:c r="D5" t="str"/>
      <x:c r="E5" s="26" t="n">
        <x:v>45000</x:v>
      </x:c>
      <x:c r="F5" s="26" t="n">
        <x:v>45000</x:v>
      </x:c>
      <x:c r="G5" t="str">
        <x:v>10/05/2023</x:v>
      </x:c>
      <x:c r="H5" t="str"/>
      <x:c r="I5" t="str">
        <x:v>Exemplo didático</x:v>
      </x:c>
    </x:row>
    <x:row r="6">
      <x:c r="A6" t="str">
        <x:v>Imóvel</x:v>
      </x:c>
      <x:c r="B6" t="str">
        <x:v>Apartamento exemplo</x:v>
      </x:c>
      <x:c r="C6" t="str">
        <x:v>RJ</x:v>
      </x:c>
      <x:c r="D6" t="str"/>
      <x:c r="E6" s="26" t="n">
        <x:v>180000</x:v>
      </x:c>
      <x:c r="F6" s="26" t="n">
        <x:v>180000</x:v>
      </x:c>
      <x:c r="G6" t="str">
        <x:v>20/08/2018</x:v>
      </x:c>
      <x:c r="H6" t="str"/>
      <x:c r="I6" t="str">
        <x:v>Exemplo didático</x:v>
      </x:c>
    </x:row>
    <x:row r="7">
      <x:c r="A7" t="str"/>
      <x:c r="B7" t="str"/>
      <x:c r="C7" t="str"/>
      <x:c r="D7" t="str"/>
      <x:c r="E7" s="26" t="str"/>
      <x:c r="F7" s="26" t="str"/>
      <x:c r="G7" t="str"/>
      <x:c r="H7" t="str"/>
      <x:c r="I7" t="str"/>
    </x:row>
    <x:row r="8">
      <x:c r="A8" t="str"/>
      <x:c r="B8" t="str"/>
      <x:c r="C8" t="str"/>
      <x:c r="D8" t="str"/>
      <x:c r="E8" s="26" t="str"/>
      <x:c r="F8" s="26" t="str"/>
      <x:c r="G8" t="str"/>
      <x:c r="H8" t="str"/>
      <x:c r="I8" t="str"/>
    </x:row>
    <x:row r="9">
      <x:c r="A9" t="str"/>
      <x:c r="B9" t="str"/>
      <x:c r="C9" t="str"/>
      <x:c r="D9" t="str"/>
      <x:c r="E9" s="26" t="str"/>
      <x:c r="F9" s="26" t="str"/>
      <x:c r="G9" t="str"/>
      <x:c r="H9" t="str"/>
      <x:c r="I9" t="str"/>
    </x:row>
    <x:row r="10">
      <x:c r="A10" t="str"/>
      <x:c r="B10" t="str"/>
      <x:c r="C10" t="str"/>
      <x:c r="D10" t="str"/>
      <x:c r="E10" s="26" t="str"/>
      <x:c r="F10" s="26" t="str"/>
      <x:c r="G10" t="str"/>
      <x:c r="H10" t="str"/>
      <x:c r="I10" t="str"/>
    </x:row>
    <x:row r="11">
      <x:c r="A11" t="str"/>
      <x:c r="B11" t="str"/>
      <x:c r="C11" t="str"/>
      <x:c r="D11" t="str"/>
      <x:c r="E11" s="26" t="str"/>
      <x:c r="F11" s="26" t="str"/>
      <x:c r="G11" t="str"/>
      <x:c r="H11" t="str"/>
      <x:c r="I11" t="str"/>
    </x:row>
    <x:row r="12">
      <x:c r="A12" t="str"/>
      <x:c r="B12" t="str"/>
      <x:c r="C12" t="str"/>
      <x:c r="D12" t="str"/>
      <x:c r="E12" s="26" t="str"/>
      <x:c r="F12" s="26" t="str"/>
      <x:c r="G12" t="str"/>
      <x:c r="H12" t="str"/>
      <x:c r="I12" t="str"/>
    </x:row>
    <x:row r="13">
      <x:c r="A13" t="str"/>
      <x:c r="B13" t="str"/>
      <x:c r="C13" t="str"/>
      <x:c r="D13" t="str"/>
      <x:c r="E13" s="26" t="str"/>
      <x:c r="F13" s="26" t="str"/>
      <x:c r="G13" t="str"/>
      <x:c r="H13" t="str"/>
      <x:c r="I13" t="str"/>
    </x:row>
    <x:row r="14">
      <x:c r="A14" t="str"/>
      <x:c r="B14" t="str"/>
      <x:c r="C14" t="str"/>
      <x:c r="D14" t="str"/>
      <x:c r="E14" s="26" t="str"/>
      <x:c r="F14" s="26" t="str"/>
      <x:c r="G14" t="str"/>
      <x:c r="H14" t="str"/>
      <x:c r="I14" t="str"/>
    </x:row>
  </x:sheetData>
  <x:mergeCells>
    <x:mergeCell ref="A1:I2"/>
  </x:mergeCells>
  <x:dataValidations count="2">
    <x:dataValidation type="list" sqref="A5:A14">
      <x:formula1>Listas!$C$2:$C$7</x:formula1>
    </x:dataValidation>
    <x:dataValidation type="list" sqref="C5:C14">
      <x:formula1>Listas!$E$2:$E$8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203e497bce4b8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4" max="4" width="24" hidden="0" customWidth="1"/>
    <x:col min="5" max="5" width="20" hidden="0" customWidth="1"/>
  </x:cols>
  <x:sheetData>
    <x:row r="1">
      <x:c r="A1" s="21" t="str">
        <x:v>RESUMO PARA CONFERÊNCIA</x:v>
      </x:c>
      <x:c r="B1" s="21"/>
      <x:c r="C1" s="21"/>
      <x:c r="D1" s="21"/>
      <x:c r="E1" s="21"/>
      <x:c r="F1" s="21"/>
    </x:row>
    <x:row r="2">
      <x:c r="A2" s="21"/>
      <x:c r="B2" s="21"/>
      <x:c r="C2" s="21"/>
      <x:c r="D2" s="21"/>
      <x:c r="E2" s="21"/>
      <x:c r="F2" s="21"/>
    </x:row>
    <x:row r="4">
      <x:c r="A4" s="13" t="str">
        <x:v>Indicador</x:v>
      </x:c>
      <x:c r="B4" s="13" t="str">
        <x:v>Total</x:v>
      </x:c>
      <x:c r="D4" s="13" t="str">
        <x:v>Tipo de rendimento</x:v>
      </x:c>
      <x:c r="E4" s="13" t="str">
        <x:v>Total</x:v>
      </x:c>
      <x:c r="H4" t="e">
        <x:f>HYPERLINK("#'Menu'!A1","← Voltar ao Menu")</x:f>
        <x:v>HYPERLINK is not implemented. linkLocation=#'Menu'!A1, friendlyName=← Voltar ao Menu</x:v>
      </x:c>
    </x:row>
    <x:row r="5">
      <x:c r="A5" t="str">
        <x:v>Rendimentos declarados</x:v>
      </x:c>
      <x:c r="B5" s="26" t="n">
        <x:f>SUM(Rendimentos!F5:F19)</x:f>
        <x:v>89200</x:v>
      </x:c>
      <x:c r="D5" t="str">
        <x:v>Tributável</x:v>
      </x:c>
      <x:c r="E5" s="26" t="n">
        <x:f>SUMIF(Rendimentos!E5:E19,"Sim",Rendimentos!F5:F19)</x:f>
        <x:v>85000</x:v>
      </x:c>
    </x:row>
    <x:row r="6">
      <x:c r="A6" t="str">
        <x:v>IR retido</x:v>
      </x:c>
      <x:c r="B6" s="26" t="n">
        <x:f>SUM(Rendimentos!G5:G19)</x:f>
        <x:v>8200</x:v>
      </x:c>
      <x:c r="D6" t="str">
        <x:v>Não tributável</x:v>
      </x:c>
      <x:c r="E6" s="26" t="n">
        <x:f>SUMIF(Rendimentos!E5:E19,"Não",Rendimentos!F5:F19)</x:f>
        <x:v>4200</x:v>
      </x:c>
    </x:row>
    <x:row r="7">
      <x:c r="A7" t="str">
        <x:v>Pagamentos registrados</x:v>
      </x:c>
      <x:c r="B7" s="26" t="n">
        <x:f>SUM(Pagamentos!E5:E19)</x:f>
        <x:v>5050</x:v>
      </x:c>
      <x:c r="D7" t="str">
        <x:v>Total</x:v>
      </x:c>
      <x:c r="E7" s="26" t="n">
        <x:f>SUM(E5:E6)</x:f>
        <x:v>89200</x:v>
      </x:c>
    </x:row>
    <x:row r="8">
      <x:c r="A8" t="str">
        <x:v>Pagamentos dedutíveis</x:v>
      </x:c>
      <x:c r="B8" s="26" t="n">
        <x:f>SUMIF(Pagamentos!F5:F19,"Sim",Pagamentos!E5:E19)</x:f>
        <x:v>5050</x:v>
      </x:c>
    </x:row>
    <x:row r="9">
      <x:c r="A9" t="str">
        <x:v>Patrimônio em 31/12 atual</x:v>
      </x:c>
      <x:c r="B9" s="26" t="n">
        <x:f>SUM(Bens_Direitos!F5:F14)</x:f>
        <x:v>225000</x:v>
      </x:c>
    </x:row>
  </x:sheetData>
  <x:mergeCells>
    <x:mergeCell ref="A1:F2"/>
  </x:mergeCells>
  <x:pageMargins left="0.7" right="0.7" top="0.75" bottom="0.75" header="0.3" footer="0.3"/>
  <x:drawing xmlns:r="http://schemas.openxmlformats.org/officeDocument/2006/relationships" r:id="R05923037f7ba42eb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" t="str">
        <x:v>Tipo de rendimento</x:v>
      </x:c>
      <x:c r="B1" s="3" t="str">
        <x:v>Categoria de pagamento</x:v>
      </x:c>
      <x:c r="C1" s="3" t="str">
        <x:v>Tipo de bem</x:v>
      </x:c>
      <x:c r="D1" s="3" t="str">
        <x:v>Instituição</x:v>
      </x:c>
      <x:c r="E1" s="3" t="str">
        <x:v>UF</x:v>
      </x:c>
      <x:c r="F1" s="3" t="str">
        <x:v>Sim/Não</x:v>
      </x:c>
    </x:row>
    <x:row r="2">
      <x:c r="A2" t="str">
        <x:v>Salário</x:v>
      </x:c>
      <x:c r="B2" t="str">
        <x:v>Saúde</x:v>
      </x:c>
      <x:c r="C2" t="str">
        <x:v>Imóvel</x:v>
      </x:c>
      <x:c r="D2" t="str">
        <x:v>Banco do Brasil</x:v>
      </x:c>
      <x:c r="E2" t="str">
        <x:v>RJ</x:v>
      </x:c>
      <x:c r="F2" t="str">
        <x:v>Sim</x:v>
      </x:c>
    </x:row>
    <x:row r="3">
      <x:c r="A3" t="str">
        <x:v>Aposentadoria</x:v>
      </x:c>
      <x:c r="B3" t="str">
        <x:v>Educação</x:v>
      </x:c>
      <x:c r="C3" t="str">
        <x:v>Veículo</x:v>
      </x:c>
      <x:c r="D3" t="str">
        <x:v>Caixa</x:v>
      </x:c>
      <x:c r="E3" t="str">
        <x:v>SP</x:v>
      </x:c>
      <x:c r="F3" t="str">
        <x:v>Não</x:v>
      </x:c>
    </x:row>
    <x:row r="4">
      <x:c r="A4" t="str">
        <x:v>Aluguel</x:v>
      </x:c>
      <x:c r="B4" t="str">
        <x:v>Previdência</x:v>
      </x:c>
      <x:c r="C4" t="str">
        <x:v>Conta corrente</x:v>
      </x:c>
      <x:c r="D4" t="str">
        <x:v>Itaú</x:v>
      </x:c>
      <x:c r="E4" t="str">
        <x:v>MG</x:v>
      </x:c>
      <x:c r="F4" t="str"/>
    </x:row>
    <x:row r="5">
      <x:c r="A5" t="str">
        <x:v>Dividendos</x:v>
      </x:c>
      <x:c r="B5" t="str">
        <x:v>Pensão alimentícia</x:v>
      </x:c>
      <x:c r="C5" t="str">
        <x:v>Investimento</x:v>
      </x:c>
      <x:c r="D5" t="str">
        <x:v>Bradesco</x:v>
      </x:c>
      <x:c r="E5" t="str">
        <x:v>ES</x:v>
      </x:c>
      <x:c r="F5" t="str"/>
    </x:row>
    <x:row r="6">
      <x:c r="A6" t="str">
        <x:v>Rendimentos financeiros</x:v>
      </x:c>
      <x:c r="B6" t="str">
        <x:v>Doação</x:v>
      </x:c>
      <x:c r="C6" t="str">
        <x:v>Participação societária</x:v>
      </x:c>
      <x:c r="D6" t="str">
        <x:v>Nubank</x:v>
      </x:c>
      <x:c r="E6" t="str">
        <x:v>PR</x:v>
      </x:c>
      <x:c r="F6" t="str"/>
    </x:row>
    <x:row r="7">
      <x:c r="A7" t="str">
        <x:v>Outros</x:v>
      </x:c>
      <x:c r="B7" t="str">
        <x:v>Outros</x:v>
      </x:c>
      <x:c r="C7" t="str">
        <x:v>Outros</x:v>
      </x:c>
      <x:c r="D7" t="str">
        <x:v>Santander</x:v>
      </x:c>
      <x:c r="E7" t="str">
        <x:v>SC</x:v>
      </x:c>
      <x:c r="F7" t="str"/>
    </x:row>
    <x:row r="8">
      <x:c r="A8" t="str"/>
      <x:c r="B8" t="str"/>
      <x:c r="C8" t="str"/>
      <x:c r="D8" t="str">
        <x:v>Outra</x:v>
      </x:c>
      <x:c r="E8" t="str">
        <x:v>BA</x:v>
      </x:c>
      <x:c r="F8" t="str"/>
    </x:row>
  </x:sheetData>
  <x:pageMargins left="0.7" right="0.7" top="0.75" bottom="0.75" header="0.3" footer="0.3"/>
</x:worksheet>
</file>